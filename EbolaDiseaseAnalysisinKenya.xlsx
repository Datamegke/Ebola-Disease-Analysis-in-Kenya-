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  <sheet name="Sheet1" sheetId="1" r:id="rId2"/>
  </sheets>
  <definedNames>
    <definedName name="_xlcn.WorksheetConnection_Sheet1A1J51" hidden="1">Sheet1!$A$1:$J$51</definedName>
  </definedNames>
  <calcPr calcId="162913"/>
  <pivotCaches>
    <pivotCache cacheId="47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J$51"/>
        </x15:modelTables>
      </x15:dataModel>
    </ext>
  </extLst>
</workbook>
</file>

<file path=xl/calcChain.xml><?xml version="1.0" encoding="utf-8"?>
<calcChain xmlns="http://schemas.openxmlformats.org/spreadsheetml/2006/main">
  <c r="F58" i="1" l="1"/>
  <c r="G58" i="1"/>
  <c r="H58" i="1"/>
  <c r="I58" i="1"/>
  <c r="J58" i="1"/>
  <c r="E58" i="1"/>
  <c r="F57" i="1"/>
  <c r="G57" i="1"/>
  <c r="H57" i="1"/>
  <c r="I57" i="1"/>
  <c r="J57" i="1"/>
  <c r="E57" i="1"/>
  <c r="E56" i="1"/>
  <c r="F56" i="1"/>
  <c r="G56" i="1"/>
  <c r="H56" i="1"/>
  <c r="I56" i="1"/>
  <c r="J56" i="1"/>
  <c r="D56" i="1"/>
  <c r="E55" i="1"/>
  <c r="F55" i="1"/>
  <c r="G55" i="1"/>
  <c r="H55" i="1"/>
  <c r="I55" i="1"/>
  <c r="J55" i="1"/>
  <c r="D55" i="1"/>
  <c r="J53" i="1"/>
  <c r="E54" i="1"/>
  <c r="F54" i="1"/>
  <c r="G54" i="1"/>
  <c r="H54" i="1"/>
  <c r="I54" i="1"/>
  <c r="J54" i="1"/>
  <c r="D54" i="1"/>
  <c r="E53" i="1"/>
  <c r="F53" i="1"/>
  <c r="G53" i="1"/>
  <c r="H53" i="1"/>
  <c r="I53" i="1"/>
  <c r="D53" i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18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heet1!$A$1:$J$51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J51"/>
        </x15:connection>
      </ext>
    </extLst>
  </connection>
</connections>
</file>

<file path=xl/sharedStrings.xml><?xml version="1.0" encoding="utf-8"?>
<sst xmlns="http://schemas.openxmlformats.org/spreadsheetml/2006/main" count="135" uniqueCount="55">
  <si>
    <t>NO</t>
  </si>
  <si>
    <t>COUNTY</t>
  </si>
  <si>
    <t>EPIDEMIOLOGICAL WEEK</t>
  </si>
  <si>
    <t>POPULATION</t>
  </si>
  <si>
    <t>SUSPECTED CASES</t>
  </si>
  <si>
    <t>PROBABLE CASES</t>
  </si>
  <si>
    <t>CONFIRMED CASES</t>
  </si>
  <si>
    <t>DEATH</t>
  </si>
  <si>
    <t>RECOVERED</t>
  </si>
  <si>
    <t>CONFIRMED CASES PER 100K</t>
  </si>
  <si>
    <t>Nairobi</t>
  </si>
  <si>
    <t>Mombasa</t>
  </si>
  <si>
    <t>Kisumu</t>
  </si>
  <si>
    <t>Nakuru</t>
  </si>
  <si>
    <t>Uasin Gishu</t>
  </si>
  <si>
    <t>Kakamega</t>
  </si>
  <si>
    <t>Busia</t>
  </si>
  <si>
    <t>Siaya</t>
  </si>
  <si>
    <t>Kilifi</t>
  </si>
  <si>
    <t>Machakos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</si>
  <si>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</si>
  <si>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</si>
  <si>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</si>
  <si>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</si>
  <si>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</si>
  <si>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</si>
  <si>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</si>
  <si>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</si>
  <si>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</si>
  <si>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</si>
  <si>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</si>
  <si>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</si>
  <si>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</si>
  <si>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</si>
  <si>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</si>
  <si>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</si>
  <si>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</si>
  <si>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</si>
  <si>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</si>
  <si>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</si>
  <si>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SUM</t>
  </si>
  <si>
    <t>MEAN</t>
  </si>
  <si>
    <t>MAX</t>
  </si>
  <si>
    <t>MIN</t>
  </si>
  <si>
    <t>ROUND</t>
  </si>
  <si>
    <t>MODE</t>
  </si>
  <si>
    <t>Row Labels</t>
  </si>
  <si>
    <t>Grand Total</t>
  </si>
  <si>
    <t>Sum of POPULATION</t>
  </si>
  <si>
    <t>Sum of SUSPECTED CASES</t>
  </si>
  <si>
    <t>Sum of PROBABLE CASES</t>
  </si>
  <si>
    <t>Sum of CONFIRMED CASES</t>
  </si>
  <si>
    <t>Sum of DEATH</t>
  </si>
  <si>
    <t>Sum of RECOVERED</t>
  </si>
  <si>
    <t>Sum of CONFIRMED CASES PER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</si>
</sst>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uthor" refreshedDate="46323.627565856485" backgroundQuery="1" createdVersion="6" refreshedVersion="6" minRefreshableVersion="3" recordCount="0" supportSubquery="1" supportAdvancedDrill="1">
  <cacheSource type="external" connectionId="1"/>
  <cacheFields count="8">
    <cacheField name="[Range].[COUNTY].[COUNTY]" caption="COUNTY" numFmtId="0" hierarchy="1" level="1">
      <sharedItems count="10">
        <s v="Busia"/>
        <s v="Kakamega"/>
        <s v="Kilifi"/>
        <s v="Kisumu"/>
        <s v="Machakos"/>
        <s v="Mombasa"/>
        <s v="Nairobi"/>
        <s v="Nakuru"/>
        <s v="Siaya"/>
        <s v="Uasin Gishu"/>
      </sharedItems>
    </cacheField>
    <cacheField name="[Measures].[Sum of POPULATION]" caption="Sum of POPULATION" numFmtId="0" hierarchy="12" level="32767"/>
    <cacheField name="[Measures].[Sum of SUSPECTED CASES]" caption="Sum of SUSPECTED CASES" numFmtId="0" hierarchy="13" level="32767"/>
    <cacheField name="[Measures].[Sum of PROBABLE CASES]" caption="Sum of PROBABLE CASES" numFmtId="0" hierarchy="14" level="32767"/>
    <cacheField name="[Measures].[Sum of CONFIRMED CASES]" caption="Sum of CONFIRMED CASES" numFmtId="0" hierarchy="15" level="32767"/>
    <cacheField name="[Measures].[Sum of DEATH]" caption="Sum of DEATH" numFmtId="0" hierarchy="16" level="32767"/>
    <cacheField name="[Measures].[Sum of RECOVERED]" caption="Sum of RECOVERED" numFmtId="0" hierarchy="17" level="32767"/>
    <cacheField name="[Measures].[Sum of CONFIRMED CASES PER 100K]" caption="Sum of CONFIRMED CASES PER 100K" numFmtId="0" hierarchy="18" level="32767"/>
  </cacheFields>
  <cacheHierarchies count="19">
    <cacheHierarchy uniqueName="[Range].[NO]" caption="NO" attribute="1" defaultMemberUniqueName="[Range].[NO].[All]" allUniqueName="[Range].[NO].[All]" dimensionUniqueName="[Range]" displayFolder="" count="0" memberValueDatatype="20" unbalanced="0"/>
    <cacheHierarchy uniqueName="[Range].[COUNTY]" caption="COUNTY" attribute="1" defaultMemberUniqueName="[Range].[COUNTY].[All]" allUniqueName="[Range].[COUN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EPIDEMIOLOGICAL WEEK]" caption="EPIDEMIOLOGICAL WEEK" attribute="1" defaultMemberUniqueName="[Range].[EPIDEMIOLOGICAL WEEK].[All]" allUniqueName="[Range].[EPIDEMIOLOGICAL WEEK].[All]" dimensionUniqueName="[Range]" displayFolder="" count="2" memberValueDatatype="130" unbalanced="0"/>
    <cacheHierarchy uniqueName="[Range].[POPULATION]" caption="POPULATION" attribute="1" defaultMemberUniqueName="[Range].[POPULATION].[All]" allUniqueName="[Range].[POPULATION].[All]" dimensionUniqueName="[Range]" displayFolder="" count="0" memberValueDatatype="20" unbalanced="0"/>
    <cacheHierarchy uniqueName="[Range].[SUSPECTED CASES]" caption="SUSPECTED CASES" attribute="1" defaultMemberUniqueName="[Range].[SUSPECTED CASES].[All]" allUniqueName="[Range].[SUSPECTED CASES].[All]" dimensionUniqueName="[Range]" displayFolder="" count="0" memberValueDatatype="20" unbalanced="0"/>
    <cacheHierarchy uniqueName="[Range].[PROBABLE CASES]" caption="PROBABLE CASES" attribute="1" defaultMemberUniqueName="[Range].[PROBABLE CASES].[All]" allUniqueName="[Range].[PROBABLE CASES].[All]" dimensionUniqueName="[Range]" displayFolder="" count="0" memberValueDatatype="20" unbalanced="0"/>
    <cacheHierarchy uniqueName="[Range].[CONFIRMED CASES]" caption="CONFIRMED CASES" attribute="1" defaultMemberUniqueName="[Range].[CONFIRMED CASES].[All]" allUniqueName="[Range].[CONFIRMED CASES].[All]" dimensionUniqueName="[Range]" displayFolder="" count="0" memberValueDatatype="20" unbalanced="0"/>
    <cacheHierarchy uniqueName="[Range].[DEATH]" caption="DEATH" attribute="1" defaultMemberUniqueName="[Range].[DEATH].[All]" allUniqueName="[Range].[DEATH].[All]" dimensionUniqueName="[Range]" displayFolder="" count="0" memberValueDatatype="20" unbalanced="0"/>
    <cacheHierarchy uniqueName="[Range].[RECOVERED]" caption="RECOVERED" attribute="1" defaultMemberUniqueName="[Range].[RECOVERED].[All]" allUniqueName="[Range].[RECOVERED].[All]" dimensionUniqueName="[Range]" displayFolder="" count="0" memberValueDatatype="20" unbalanced="0"/>
    <cacheHierarchy uniqueName="[Range].[CONFIRMED CASES PER 100K]" caption="CONFIRMED CASES PER 100K" attribute="1" defaultMemberUniqueName="[Range].[CONFIRMED CASES PER 100K].[All]" allUniqueName="[Range].[CONFIRMED CASES PER 100K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OPULATION]" caption="Sum of POPULA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SUSPECTED CASES]" caption="Sum of SUSPECTED CASE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BABLE CASES]" caption="Sum of PROBABLE CASE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ONFIRMED CASES]" caption="Sum of CONFIRMED CASES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ATH]" caption="Sum of DEATH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RECOVERED]" caption="Sum of RECOVERED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NFIRMED CASES PER 100K]" caption="Sum of CONFIRMED CASES PER 100K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14" firstHeaderRow="0" firstDataRow="1" firstDataCol="1"/>
  <pivotFields count="8"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POPULATION" fld="1" baseField="0" baseItem="0"/>
    <dataField name="Sum of SUSPECTED CASES" fld="2" baseField="0" baseItem="0"/>
    <dataField name="Sum of PROBABLE CASES" fld="3" baseField="0" baseItem="0"/>
    <dataField name="Sum of CONFIRMED CASES" fld="4" baseField="0" baseItem="0"/>
    <dataField name="Sum of DEATH" fld="5" baseField="0" baseItem="0"/>
    <dataField name="Sum of RECOVERED" fld="6" baseField="0" baseItem="0"/>
    <dataField name="Sum of CONFIRMED CASES PER 100K" fld="7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J$51">
        <x15:activeTabTopLevelEntity name="[Range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4"/>
  <sheetViews>
    <sheetView tabSelected="1" workbookViewId="0">
      <selection activeCell="A3" sqref="A3"/>
    </sheetView>
  </sheetViews>
  <sheetFormatPr defaultRowHeight="15" x14ac:dyDescent="0.25"/>
  <cols>
    <col min="1" max="1" width="13.140625" customWidth="1"/>
    <col min="2" max="2" width="19.5703125" bestFit="1" customWidth="1"/>
    <col min="3" max="3" width="23.85546875" bestFit="1" customWidth="1"/>
    <col min="4" max="4" width="23" bestFit="1" customWidth="1"/>
    <col min="5" max="5" width="24.7109375" bestFit="1" customWidth="1"/>
    <col min="6" max="6" width="13.5703125" bestFit="1" customWidth="1"/>
    <col min="7" max="7" width="18.28515625" bestFit="1" customWidth="1"/>
    <col min="8" max="8" width="33.28515625" bestFit="1" customWidth="1"/>
  </cols>
  <sheetData>
    <row r="3" spans="1:8" x14ac:dyDescent="0.25">
      <c r="A3" s="2" t="s">
        <v>46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</row>
    <row r="4" spans="1:8" x14ac:dyDescent="0.25">
      <c r="A4" s="3" t="s">
        <v>16</v>
      </c>
      <c r="B4" s="4">
        <v>7760000</v>
      </c>
      <c r="C4" s="4">
        <v>94</v>
      </c>
      <c r="D4" s="4">
        <v>24</v>
      </c>
      <c r="E4" s="4">
        <v>9</v>
      </c>
      <c r="F4" s="4">
        <v>0</v>
      </c>
      <c r="G4" s="4">
        <v>4</v>
      </c>
      <c r="H4" s="4">
        <v>0.43</v>
      </c>
    </row>
    <row r="5" spans="1:8" x14ac:dyDescent="0.25">
      <c r="A5" s="3" t="s">
        <v>15</v>
      </c>
      <c r="B5" s="4">
        <v>7525000</v>
      </c>
      <c r="C5" s="4">
        <v>102</v>
      </c>
      <c r="D5" s="4">
        <v>22</v>
      </c>
      <c r="E5" s="4">
        <v>6</v>
      </c>
      <c r="F5" s="4">
        <v>4</v>
      </c>
      <c r="G5" s="4">
        <v>4</v>
      </c>
      <c r="H5" s="4">
        <v>0.54</v>
      </c>
    </row>
    <row r="6" spans="1:8" x14ac:dyDescent="0.25">
      <c r="A6" s="3" t="s">
        <v>18</v>
      </c>
      <c r="B6" s="4">
        <v>6930000</v>
      </c>
      <c r="C6" s="4">
        <v>78</v>
      </c>
      <c r="D6" s="4">
        <v>24</v>
      </c>
      <c r="E6" s="4">
        <v>9</v>
      </c>
      <c r="F6" s="4">
        <v>0</v>
      </c>
      <c r="G6" s="4">
        <v>3</v>
      </c>
      <c r="H6" s="4">
        <v>0.41</v>
      </c>
    </row>
    <row r="7" spans="1:8" x14ac:dyDescent="0.25">
      <c r="A7" s="3" t="s">
        <v>12</v>
      </c>
      <c r="B7" s="4">
        <v>6820000</v>
      </c>
      <c r="C7" s="4">
        <v>80</v>
      </c>
      <c r="D7" s="4">
        <v>22</v>
      </c>
      <c r="E7" s="4">
        <v>9</v>
      </c>
      <c r="F7" s="4">
        <v>0</v>
      </c>
      <c r="G7" s="4">
        <v>8</v>
      </c>
      <c r="H7" s="4">
        <v>0.21</v>
      </c>
    </row>
    <row r="8" spans="1:8" x14ac:dyDescent="0.25">
      <c r="A8" s="3" t="s">
        <v>19</v>
      </c>
      <c r="B8" s="4">
        <v>7165000</v>
      </c>
      <c r="C8" s="4">
        <v>90</v>
      </c>
      <c r="D8" s="4">
        <v>26</v>
      </c>
      <c r="E8" s="4">
        <v>3</v>
      </c>
      <c r="F8" s="4">
        <v>7</v>
      </c>
      <c r="G8" s="4">
        <v>5</v>
      </c>
      <c r="H8" s="4">
        <v>0.65</v>
      </c>
    </row>
    <row r="9" spans="1:8" x14ac:dyDescent="0.25">
      <c r="A9" s="3" t="s">
        <v>11</v>
      </c>
      <c r="B9" s="4">
        <v>6585000</v>
      </c>
      <c r="C9" s="4">
        <v>88</v>
      </c>
      <c r="D9" s="4">
        <v>20</v>
      </c>
      <c r="E9" s="4">
        <v>6</v>
      </c>
      <c r="F9" s="4">
        <v>4</v>
      </c>
      <c r="G9" s="4">
        <v>5</v>
      </c>
      <c r="H9" s="4">
        <v>0.95</v>
      </c>
    </row>
    <row r="10" spans="1:8" x14ac:dyDescent="0.25">
      <c r="A10" s="3" t="s">
        <v>10</v>
      </c>
      <c r="B10" s="4">
        <v>6350000</v>
      </c>
      <c r="C10" s="4">
        <v>70</v>
      </c>
      <c r="D10" s="4">
        <v>26</v>
      </c>
      <c r="E10" s="4">
        <v>9</v>
      </c>
      <c r="F10" s="4">
        <v>0</v>
      </c>
      <c r="G10" s="4">
        <v>3</v>
      </c>
      <c r="H10" s="4">
        <v>0.22</v>
      </c>
    </row>
    <row r="11" spans="1:8" x14ac:dyDescent="0.25">
      <c r="A11" s="3" t="s">
        <v>13</v>
      </c>
      <c r="B11" s="4">
        <v>7055000</v>
      </c>
      <c r="C11" s="4">
        <v>95</v>
      </c>
      <c r="D11" s="4">
        <v>32</v>
      </c>
      <c r="E11" s="4">
        <v>6</v>
      </c>
      <c r="F11" s="4">
        <v>2</v>
      </c>
      <c r="G11" s="4">
        <v>5</v>
      </c>
      <c r="H11" s="4">
        <v>0.88</v>
      </c>
    </row>
    <row r="12" spans="1:8" x14ac:dyDescent="0.25">
      <c r="A12" s="3" t="s">
        <v>17</v>
      </c>
      <c r="B12" s="4">
        <v>7995000</v>
      </c>
      <c r="C12" s="4">
        <v>109</v>
      </c>
      <c r="D12" s="4">
        <v>22</v>
      </c>
      <c r="E12" s="4">
        <v>6</v>
      </c>
      <c r="F12" s="4">
        <v>5</v>
      </c>
      <c r="G12" s="4">
        <v>6</v>
      </c>
      <c r="H12" s="4">
        <v>0.71</v>
      </c>
    </row>
    <row r="13" spans="1:8" x14ac:dyDescent="0.25">
      <c r="A13" s="3" t="s">
        <v>14</v>
      </c>
      <c r="B13" s="4">
        <v>7290000</v>
      </c>
      <c r="C13" s="4">
        <v>110</v>
      </c>
      <c r="D13" s="4">
        <v>26</v>
      </c>
      <c r="E13" s="4">
        <v>9</v>
      </c>
      <c r="F13" s="4">
        <v>0</v>
      </c>
      <c r="G13" s="4">
        <v>7</v>
      </c>
      <c r="H13" s="4">
        <v>0.47</v>
      </c>
    </row>
    <row r="14" spans="1:8" x14ac:dyDescent="0.25">
      <c r="A14" s="3" t="s">
        <v>47</v>
      </c>
      <c r="B14" s="4">
        <v>71475000</v>
      </c>
      <c r="C14" s="4">
        <v>916</v>
      </c>
      <c r="D14" s="4">
        <v>244</v>
      </c>
      <c r="E14" s="4">
        <v>72</v>
      </c>
      <c r="F14" s="4">
        <v>22</v>
      </c>
      <c r="G14" s="4">
        <v>50</v>
      </c>
      <c r="H14" s="4">
        <v>5.47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activeCell="D8" sqref="D8"/>
    </sheetView>
  </sheetViews>
  <sheetFormatPr defaultRowHeight="15" x14ac:dyDescent="0.25"/>
  <cols>
    <col min="2" max="2" width="11.28515625" bestFit="1" customWidth="1"/>
    <col min="3" max="3" width="23.42578125" bestFit="1" customWidth="1"/>
    <col min="4" max="4" width="12.7109375" bestFit="1" customWidth="1"/>
    <col min="5" max="5" width="17" bestFit="1" customWidth="1"/>
    <col min="6" max="6" width="16.140625" bestFit="1" customWidth="1"/>
    <col min="7" max="7" width="18" bestFit="1" customWidth="1"/>
    <col min="9" max="9" width="11.42578125" bestFit="1" customWidth="1"/>
    <col min="10" max="10" width="26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20</v>
      </c>
      <c r="D2">
        <v>850000</v>
      </c>
      <c r="E2">
        <v>8</v>
      </c>
      <c r="F2">
        <v>2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2</v>
      </c>
      <c r="B3" t="s">
        <v>11</v>
      </c>
      <c r="C3" t="s">
        <v>21</v>
      </c>
      <c r="D3">
        <v>897000</v>
      </c>
      <c r="E3">
        <v>11</v>
      </c>
      <c r="F3">
        <v>4</v>
      </c>
      <c r="G3">
        <v>3</v>
      </c>
      <c r="H3">
        <v>0</v>
      </c>
      <c r="I3">
        <v>3</v>
      </c>
      <c r="J3">
        <v>0.33</v>
      </c>
    </row>
    <row r="4" spans="1:10" x14ac:dyDescent="0.25">
      <c r="A4">
        <v>3</v>
      </c>
      <c r="B4" t="s">
        <v>12</v>
      </c>
      <c r="C4" t="s">
        <v>22</v>
      </c>
      <c r="D4">
        <v>944000</v>
      </c>
      <c r="E4">
        <v>14</v>
      </c>
      <c r="F4">
        <v>6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4</v>
      </c>
      <c r="B5" t="s">
        <v>13</v>
      </c>
      <c r="C5" t="s">
        <v>23</v>
      </c>
      <c r="D5">
        <v>991000</v>
      </c>
      <c r="E5">
        <v>17</v>
      </c>
      <c r="F5">
        <v>8</v>
      </c>
      <c r="G5">
        <v>3</v>
      </c>
      <c r="H5">
        <v>0</v>
      </c>
      <c r="I5">
        <v>3</v>
      </c>
      <c r="J5">
        <v>0.3</v>
      </c>
    </row>
    <row r="6" spans="1:10" x14ac:dyDescent="0.25">
      <c r="A6">
        <v>5</v>
      </c>
      <c r="B6" t="s">
        <v>14</v>
      </c>
      <c r="C6" t="s">
        <v>24</v>
      </c>
      <c r="D6">
        <v>1038000</v>
      </c>
      <c r="E6">
        <v>20</v>
      </c>
      <c r="F6">
        <v>2</v>
      </c>
      <c r="G6">
        <v>0</v>
      </c>
      <c r="H6">
        <v>0</v>
      </c>
      <c r="I6">
        <v>0</v>
      </c>
      <c r="J6">
        <v>0.28000000000000003</v>
      </c>
    </row>
    <row r="7" spans="1:10" x14ac:dyDescent="0.25">
      <c r="A7">
        <v>6</v>
      </c>
      <c r="B7" t="s">
        <v>15</v>
      </c>
      <c r="C7" t="s">
        <v>25</v>
      </c>
      <c r="D7">
        <v>1085000</v>
      </c>
      <c r="E7">
        <v>23</v>
      </c>
      <c r="F7">
        <v>4</v>
      </c>
      <c r="G7">
        <v>3</v>
      </c>
      <c r="H7">
        <v>0</v>
      </c>
      <c r="I7">
        <v>3</v>
      </c>
      <c r="J7">
        <v>0</v>
      </c>
    </row>
    <row r="8" spans="1:10" x14ac:dyDescent="0.25">
      <c r="A8">
        <v>7</v>
      </c>
      <c r="B8" t="s">
        <v>16</v>
      </c>
      <c r="C8" t="s">
        <v>26</v>
      </c>
      <c r="D8">
        <v>1132000</v>
      </c>
      <c r="E8">
        <v>26</v>
      </c>
      <c r="F8">
        <v>6</v>
      </c>
      <c r="G8">
        <v>0</v>
      </c>
      <c r="H8">
        <v>0</v>
      </c>
      <c r="I8">
        <v>0</v>
      </c>
      <c r="J8">
        <v>0.25</v>
      </c>
    </row>
    <row r="9" spans="1:10" x14ac:dyDescent="0.25">
      <c r="A9">
        <v>8</v>
      </c>
      <c r="B9" t="s">
        <v>17</v>
      </c>
      <c r="C9" t="s">
        <v>27</v>
      </c>
      <c r="D9">
        <v>1179000</v>
      </c>
      <c r="E9">
        <v>29</v>
      </c>
      <c r="F9">
        <v>8</v>
      </c>
      <c r="G9">
        <v>3</v>
      </c>
      <c r="H9">
        <v>1</v>
      </c>
      <c r="I9">
        <v>2</v>
      </c>
      <c r="J9">
        <v>0</v>
      </c>
    </row>
    <row r="10" spans="1:10" x14ac:dyDescent="0.25">
      <c r="A10">
        <v>9</v>
      </c>
      <c r="B10" t="s">
        <v>18</v>
      </c>
      <c r="C10" t="s">
        <v>28</v>
      </c>
      <c r="D10">
        <v>1226000</v>
      </c>
      <c r="E10">
        <v>9</v>
      </c>
      <c r="F10">
        <v>2</v>
      </c>
      <c r="G10">
        <v>0</v>
      </c>
      <c r="H10">
        <v>0</v>
      </c>
      <c r="I10">
        <v>0</v>
      </c>
      <c r="J10">
        <v>0.24</v>
      </c>
    </row>
    <row r="11" spans="1:10" x14ac:dyDescent="0.25">
      <c r="A11">
        <v>10</v>
      </c>
      <c r="B11" t="s">
        <v>19</v>
      </c>
      <c r="C11" t="s">
        <v>29</v>
      </c>
      <c r="D11">
        <v>1273000</v>
      </c>
      <c r="E11">
        <v>12</v>
      </c>
      <c r="F11">
        <v>4</v>
      </c>
      <c r="G11">
        <v>3</v>
      </c>
      <c r="H11">
        <v>1</v>
      </c>
      <c r="I11">
        <v>2</v>
      </c>
      <c r="J11">
        <v>0</v>
      </c>
    </row>
    <row r="12" spans="1:10" x14ac:dyDescent="0.25">
      <c r="A12">
        <v>11</v>
      </c>
      <c r="B12" t="s">
        <v>10</v>
      </c>
      <c r="C12" t="s">
        <v>30</v>
      </c>
      <c r="D12">
        <v>1320000</v>
      </c>
      <c r="E12">
        <v>15</v>
      </c>
      <c r="F12">
        <v>6</v>
      </c>
      <c r="G12">
        <v>0</v>
      </c>
      <c r="H12">
        <v>0</v>
      </c>
      <c r="I12">
        <v>0</v>
      </c>
      <c r="J12">
        <v>0.22</v>
      </c>
    </row>
    <row r="13" spans="1:10" x14ac:dyDescent="0.25">
      <c r="A13">
        <v>12</v>
      </c>
      <c r="B13" t="s">
        <v>11</v>
      </c>
      <c r="C13" t="s">
        <v>31</v>
      </c>
      <c r="D13">
        <v>1367000</v>
      </c>
      <c r="E13">
        <v>18</v>
      </c>
      <c r="F13">
        <v>8</v>
      </c>
      <c r="G13">
        <v>3</v>
      </c>
      <c r="H13">
        <v>1</v>
      </c>
      <c r="I13">
        <v>2</v>
      </c>
      <c r="J13">
        <v>0</v>
      </c>
    </row>
    <row r="14" spans="1:10" x14ac:dyDescent="0.25">
      <c r="A14">
        <v>13</v>
      </c>
      <c r="B14" t="s">
        <v>12</v>
      </c>
      <c r="C14" t="s">
        <v>32</v>
      </c>
      <c r="D14">
        <v>1414000</v>
      </c>
      <c r="E14">
        <v>21</v>
      </c>
      <c r="F14">
        <v>2</v>
      </c>
      <c r="G14">
        <v>0</v>
      </c>
      <c r="H14">
        <v>0</v>
      </c>
      <c r="I14">
        <v>0</v>
      </c>
      <c r="J14">
        <v>0.21</v>
      </c>
    </row>
    <row r="15" spans="1:10" x14ac:dyDescent="0.25">
      <c r="A15">
        <v>14</v>
      </c>
      <c r="B15" t="s">
        <v>13</v>
      </c>
      <c r="C15" t="s">
        <v>33</v>
      </c>
      <c r="D15">
        <v>1461000</v>
      </c>
      <c r="E15">
        <v>24</v>
      </c>
      <c r="F15">
        <v>4</v>
      </c>
      <c r="G15">
        <v>3</v>
      </c>
      <c r="H15">
        <v>1</v>
      </c>
      <c r="I15">
        <v>2</v>
      </c>
      <c r="J15">
        <v>0</v>
      </c>
    </row>
    <row r="16" spans="1:10" x14ac:dyDescent="0.25">
      <c r="A16">
        <v>15</v>
      </c>
      <c r="B16" t="s">
        <v>14</v>
      </c>
      <c r="C16" t="s">
        <v>34</v>
      </c>
      <c r="D16">
        <v>1508000</v>
      </c>
      <c r="E16">
        <v>27</v>
      </c>
      <c r="F16">
        <v>6</v>
      </c>
      <c r="G16">
        <v>0</v>
      </c>
      <c r="H16">
        <v>0</v>
      </c>
      <c r="I16">
        <v>0</v>
      </c>
      <c r="J16">
        <v>0.19</v>
      </c>
    </row>
    <row r="17" spans="1:10" x14ac:dyDescent="0.25">
      <c r="A17">
        <v>16</v>
      </c>
      <c r="B17" t="s">
        <v>15</v>
      </c>
      <c r="C17" t="s">
        <v>35</v>
      </c>
      <c r="D17">
        <v>1555000</v>
      </c>
      <c r="E17">
        <v>30</v>
      </c>
      <c r="F17">
        <v>8</v>
      </c>
      <c r="G17">
        <v>3</v>
      </c>
      <c r="H17">
        <v>2</v>
      </c>
      <c r="I17">
        <v>1</v>
      </c>
      <c r="J17">
        <v>0</v>
      </c>
    </row>
    <row r="18" spans="1:10" x14ac:dyDescent="0.25">
      <c r="A18">
        <f>A17+1</f>
        <v>17</v>
      </c>
      <c r="B18" t="s">
        <v>16</v>
      </c>
      <c r="C18" t="s">
        <v>36</v>
      </c>
      <c r="D18">
        <v>1602000</v>
      </c>
      <c r="E18">
        <v>10</v>
      </c>
      <c r="F18">
        <v>2</v>
      </c>
      <c r="G18">
        <v>0</v>
      </c>
      <c r="H18">
        <v>0</v>
      </c>
      <c r="I18">
        <v>0</v>
      </c>
      <c r="J18">
        <v>0.18</v>
      </c>
    </row>
    <row r="19" spans="1:10" x14ac:dyDescent="0.25">
      <c r="A19">
        <f t="shared" ref="A19:A51" si="0">A18+1</f>
        <v>18</v>
      </c>
      <c r="B19" t="s">
        <v>17</v>
      </c>
      <c r="C19" t="s">
        <v>37</v>
      </c>
      <c r="D19">
        <v>1649000</v>
      </c>
      <c r="E19">
        <v>13</v>
      </c>
      <c r="F19">
        <v>4</v>
      </c>
      <c r="G19">
        <v>3</v>
      </c>
      <c r="H19">
        <v>2</v>
      </c>
      <c r="I19">
        <v>1</v>
      </c>
      <c r="J19">
        <v>0</v>
      </c>
    </row>
    <row r="20" spans="1:10" x14ac:dyDescent="0.25">
      <c r="A20">
        <f t="shared" si="0"/>
        <v>19</v>
      </c>
      <c r="B20" t="s">
        <v>18</v>
      </c>
      <c r="C20" t="s">
        <v>38</v>
      </c>
      <c r="D20">
        <v>1696000</v>
      </c>
      <c r="E20">
        <v>16</v>
      </c>
      <c r="F20">
        <v>6</v>
      </c>
      <c r="G20">
        <v>0</v>
      </c>
      <c r="H20">
        <v>0</v>
      </c>
      <c r="I20">
        <v>0</v>
      </c>
      <c r="J20">
        <v>0.17</v>
      </c>
    </row>
    <row r="21" spans="1:10" x14ac:dyDescent="0.25">
      <c r="A21">
        <f t="shared" si="0"/>
        <v>20</v>
      </c>
      <c r="B21" t="s">
        <v>19</v>
      </c>
      <c r="C21" t="s">
        <v>39</v>
      </c>
      <c r="D21">
        <v>1743000</v>
      </c>
      <c r="E21">
        <v>19</v>
      </c>
      <c r="F21">
        <v>8</v>
      </c>
      <c r="G21">
        <v>0</v>
      </c>
      <c r="H21">
        <v>2</v>
      </c>
      <c r="I21">
        <v>1</v>
      </c>
      <c r="J21">
        <v>0</v>
      </c>
    </row>
    <row r="22" spans="1:10" x14ac:dyDescent="0.25">
      <c r="A22">
        <f t="shared" si="0"/>
        <v>21</v>
      </c>
      <c r="B22" t="s">
        <v>10</v>
      </c>
      <c r="C22" t="s">
        <v>20</v>
      </c>
      <c r="D22">
        <v>1790000</v>
      </c>
      <c r="E22">
        <v>22</v>
      </c>
      <c r="F22">
        <v>2</v>
      </c>
      <c r="G22">
        <v>3</v>
      </c>
      <c r="H22">
        <v>0</v>
      </c>
      <c r="I22">
        <v>0</v>
      </c>
      <c r="J22">
        <v>0</v>
      </c>
    </row>
    <row r="23" spans="1:10" x14ac:dyDescent="0.25">
      <c r="A23">
        <f t="shared" si="0"/>
        <v>22</v>
      </c>
      <c r="B23" t="s">
        <v>11</v>
      </c>
      <c r="C23" t="s">
        <v>21</v>
      </c>
      <c r="D23">
        <v>1837000</v>
      </c>
      <c r="E23">
        <v>28</v>
      </c>
      <c r="F23">
        <v>4</v>
      </c>
      <c r="G23">
        <v>0</v>
      </c>
      <c r="H23">
        <v>0</v>
      </c>
      <c r="I23">
        <v>0</v>
      </c>
      <c r="J23">
        <v>0.16</v>
      </c>
    </row>
    <row r="24" spans="1:10" x14ac:dyDescent="0.25">
      <c r="A24">
        <f t="shared" si="0"/>
        <v>23</v>
      </c>
      <c r="B24" t="s">
        <v>12</v>
      </c>
      <c r="C24" t="s">
        <v>22</v>
      </c>
      <c r="D24">
        <v>1884000</v>
      </c>
      <c r="E24">
        <v>8</v>
      </c>
      <c r="F24">
        <v>6</v>
      </c>
      <c r="G24">
        <v>3</v>
      </c>
      <c r="H24">
        <v>0</v>
      </c>
      <c r="I24">
        <v>3</v>
      </c>
      <c r="J24">
        <v>0</v>
      </c>
    </row>
    <row r="25" spans="1:10" x14ac:dyDescent="0.25">
      <c r="A25">
        <f t="shared" si="0"/>
        <v>24</v>
      </c>
      <c r="B25" t="s">
        <v>13</v>
      </c>
      <c r="C25" t="s">
        <v>23</v>
      </c>
      <c r="D25">
        <v>1931000</v>
      </c>
      <c r="E25">
        <v>11</v>
      </c>
      <c r="F25">
        <v>8</v>
      </c>
      <c r="G25">
        <v>0</v>
      </c>
      <c r="H25">
        <v>0</v>
      </c>
      <c r="I25">
        <v>0</v>
      </c>
      <c r="J25">
        <v>0.15</v>
      </c>
    </row>
    <row r="26" spans="1:10" x14ac:dyDescent="0.25">
      <c r="A26">
        <f t="shared" si="0"/>
        <v>25</v>
      </c>
      <c r="B26" t="s">
        <v>14</v>
      </c>
      <c r="C26" t="s">
        <v>24</v>
      </c>
      <c r="D26">
        <v>1978000</v>
      </c>
      <c r="E26">
        <v>14</v>
      </c>
      <c r="F26">
        <v>2</v>
      </c>
      <c r="G26">
        <v>3</v>
      </c>
      <c r="H26">
        <v>0</v>
      </c>
      <c r="I26">
        <v>3</v>
      </c>
      <c r="J26">
        <v>0</v>
      </c>
    </row>
    <row r="27" spans="1:10" x14ac:dyDescent="0.25">
      <c r="A27">
        <f t="shared" si="0"/>
        <v>26</v>
      </c>
      <c r="B27" t="s">
        <v>15</v>
      </c>
      <c r="C27" t="s">
        <v>25</v>
      </c>
      <c r="D27">
        <v>2025000</v>
      </c>
      <c r="E27">
        <v>17</v>
      </c>
      <c r="F27">
        <v>6</v>
      </c>
      <c r="G27">
        <v>0</v>
      </c>
      <c r="H27">
        <v>0</v>
      </c>
      <c r="I27">
        <v>0</v>
      </c>
      <c r="J27">
        <v>0.14000000000000001</v>
      </c>
    </row>
    <row r="28" spans="1:10" x14ac:dyDescent="0.25">
      <c r="A28">
        <f t="shared" si="0"/>
        <v>27</v>
      </c>
      <c r="B28" t="s">
        <v>16</v>
      </c>
      <c r="C28" t="s">
        <v>26</v>
      </c>
      <c r="D28">
        <v>2072000</v>
      </c>
      <c r="E28">
        <v>20</v>
      </c>
      <c r="F28">
        <v>8</v>
      </c>
      <c r="G28">
        <v>3</v>
      </c>
      <c r="H28">
        <v>0</v>
      </c>
      <c r="I28">
        <v>3</v>
      </c>
      <c r="J28">
        <v>0</v>
      </c>
    </row>
    <row r="29" spans="1:10" x14ac:dyDescent="0.25">
      <c r="A29">
        <f t="shared" si="0"/>
        <v>28</v>
      </c>
      <c r="B29" t="s">
        <v>17</v>
      </c>
      <c r="C29" t="s">
        <v>27</v>
      </c>
      <c r="D29">
        <v>2119000</v>
      </c>
      <c r="E29">
        <v>23</v>
      </c>
      <c r="F29">
        <v>2</v>
      </c>
      <c r="G29">
        <v>0</v>
      </c>
      <c r="H29">
        <v>0</v>
      </c>
      <c r="I29">
        <v>0</v>
      </c>
      <c r="J29">
        <v>0.33</v>
      </c>
    </row>
    <row r="30" spans="1:10" x14ac:dyDescent="0.25">
      <c r="A30">
        <f t="shared" si="0"/>
        <v>29</v>
      </c>
      <c r="B30" t="s">
        <v>18</v>
      </c>
      <c r="C30" t="s">
        <v>28</v>
      </c>
      <c r="D30">
        <v>866000</v>
      </c>
      <c r="E30">
        <v>26</v>
      </c>
      <c r="F30">
        <v>4</v>
      </c>
      <c r="G30">
        <v>3</v>
      </c>
      <c r="H30">
        <v>0</v>
      </c>
      <c r="I30">
        <v>2</v>
      </c>
      <c r="J30">
        <v>0</v>
      </c>
    </row>
    <row r="31" spans="1:10" x14ac:dyDescent="0.25">
      <c r="A31">
        <f t="shared" si="0"/>
        <v>30</v>
      </c>
      <c r="B31" t="s">
        <v>19</v>
      </c>
      <c r="C31" t="s">
        <v>29</v>
      </c>
      <c r="D31">
        <v>913000</v>
      </c>
      <c r="E31">
        <v>29</v>
      </c>
      <c r="F31">
        <v>6</v>
      </c>
      <c r="G31">
        <v>0</v>
      </c>
      <c r="H31">
        <v>1</v>
      </c>
      <c r="I31">
        <v>0</v>
      </c>
      <c r="J31">
        <v>0.3</v>
      </c>
    </row>
    <row r="32" spans="1:10" x14ac:dyDescent="0.25">
      <c r="A32">
        <f t="shared" si="0"/>
        <v>31</v>
      </c>
      <c r="B32" t="s">
        <v>10</v>
      </c>
      <c r="C32" t="s">
        <v>30</v>
      </c>
      <c r="D32">
        <v>960000</v>
      </c>
      <c r="E32">
        <v>9</v>
      </c>
      <c r="F32">
        <v>8</v>
      </c>
      <c r="G32">
        <v>3</v>
      </c>
      <c r="H32">
        <v>0</v>
      </c>
      <c r="I32">
        <v>2</v>
      </c>
      <c r="J32">
        <v>0</v>
      </c>
    </row>
    <row r="33" spans="1:10" x14ac:dyDescent="0.25">
      <c r="A33">
        <f t="shared" si="0"/>
        <v>32</v>
      </c>
      <c r="B33" t="s">
        <v>11</v>
      </c>
      <c r="C33" t="s">
        <v>31</v>
      </c>
      <c r="D33">
        <v>1007000</v>
      </c>
      <c r="E33">
        <v>12</v>
      </c>
      <c r="F33">
        <v>2</v>
      </c>
      <c r="G33">
        <v>0</v>
      </c>
      <c r="H33">
        <v>1</v>
      </c>
      <c r="I33">
        <v>0</v>
      </c>
      <c r="J33">
        <v>0.27</v>
      </c>
    </row>
    <row r="34" spans="1:10" x14ac:dyDescent="0.25">
      <c r="A34">
        <f t="shared" si="0"/>
        <v>33</v>
      </c>
      <c r="B34" t="s">
        <v>12</v>
      </c>
      <c r="C34" t="s">
        <v>32</v>
      </c>
      <c r="D34">
        <v>1054000</v>
      </c>
      <c r="E34">
        <v>15</v>
      </c>
      <c r="F34">
        <v>4</v>
      </c>
      <c r="G34">
        <v>3</v>
      </c>
      <c r="H34">
        <v>0</v>
      </c>
      <c r="I34">
        <v>2</v>
      </c>
      <c r="J34">
        <v>0</v>
      </c>
    </row>
    <row r="35" spans="1:10" x14ac:dyDescent="0.25">
      <c r="A35">
        <f t="shared" si="0"/>
        <v>34</v>
      </c>
      <c r="B35" t="s">
        <v>13</v>
      </c>
      <c r="C35" t="s">
        <v>33</v>
      </c>
      <c r="D35">
        <v>1101000</v>
      </c>
      <c r="E35">
        <v>18</v>
      </c>
      <c r="F35">
        <v>6</v>
      </c>
      <c r="G35">
        <v>0</v>
      </c>
      <c r="H35">
        <v>1</v>
      </c>
      <c r="I35">
        <v>0</v>
      </c>
      <c r="J35">
        <v>0.25</v>
      </c>
    </row>
    <row r="36" spans="1:10" x14ac:dyDescent="0.25">
      <c r="A36">
        <f t="shared" si="0"/>
        <v>35</v>
      </c>
      <c r="B36" t="s">
        <v>14</v>
      </c>
      <c r="C36" t="s">
        <v>34</v>
      </c>
      <c r="D36">
        <v>1148000</v>
      </c>
      <c r="E36">
        <v>21</v>
      </c>
      <c r="F36">
        <v>8</v>
      </c>
      <c r="G36">
        <v>3</v>
      </c>
      <c r="H36">
        <v>0</v>
      </c>
      <c r="I36">
        <v>1</v>
      </c>
      <c r="J36">
        <v>0</v>
      </c>
    </row>
    <row r="37" spans="1:10" x14ac:dyDescent="0.25">
      <c r="A37">
        <f t="shared" si="0"/>
        <v>36</v>
      </c>
      <c r="B37" t="s">
        <v>15</v>
      </c>
      <c r="C37" t="s">
        <v>35</v>
      </c>
      <c r="D37">
        <v>1195000</v>
      </c>
      <c r="E37">
        <v>24</v>
      </c>
      <c r="F37">
        <v>2</v>
      </c>
      <c r="G37">
        <v>0</v>
      </c>
      <c r="H37">
        <v>2</v>
      </c>
      <c r="I37">
        <v>0</v>
      </c>
      <c r="J37">
        <v>0.23</v>
      </c>
    </row>
    <row r="38" spans="1:10" x14ac:dyDescent="0.25">
      <c r="A38">
        <f t="shared" si="0"/>
        <v>37</v>
      </c>
      <c r="B38" t="s">
        <v>16</v>
      </c>
      <c r="C38" t="s">
        <v>36</v>
      </c>
      <c r="D38">
        <v>1242000</v>
      </c>
      <c r="E38">
        <v>27</v>
      </c>
      <c r="F38">
        <v>4</v>
      </c>
      <c r="G38">
        <v>3</v>
      </c>
      <c r="H38">
        <v>0</v>
      </c>
      <c r="I38">
        <v>1</v>
      </c>
      <c r="J38">
        <v>0</v>
      </c>
    </row>
    <row r="39" spans="1:10" x14ac:dyDescent="0.25">
      <c r="A39">
        <f t="shared" si="0"/>
        <v>38</v>
      </c>
      <c r="B39" t="s">
        <v>17</v>
      </c>
      <c r="C39" t="s">
        <v>37</v>
      </c>
      <c r="D39">
        <v>1289000</v>
      </c>
      <c r="E39">
        <v>30</v>
      </c>
      <c r="F39">
        <v>2</v>
      </c>
      <c r="G39">
        <v>0</v>
      </c>
      <c r="H39">
        <v>2</v>
      </c>
      <c r="I39">
        <v>0</v>
      </c>
      <c r="J39">
        <v>0.22</v>
      </c>
    </row>
    <row r="40" spans="1:10" x14ac:dyDescent="0.25">
      <c r="A40">
        <f t="shared" si="0"/>
        <v>39</v>
      </c>
      <c r="B40" t="s">
        <v>18</v>
      </c>
      <c r="C40" t="s">
        <v>38</v>
      </c>
      <c r="D40">
        <v>1336000</v>
      </c>
      <c r="E40">
        <v>10</v>
      </c>
      <c r="F40">
        <v>4</v>
      </c>
      <c r="G40">
        <v>3</v>
      </c>
      <c r="H40">
        <v>0</v>
      </c>
      <c r="I40">
        <v>1</v>
      </c>
      <c r="J40">
        <v>0</v>
      </c>
    </row>
    <row r="41" spans="1:10" x14ac:dyDescent="0.25">
      <c r="A41">
        <f t="shared" si="0"/>
        <v>40</v>
      </c>
      <c r="B41" t="s">
        <v>19</v>
      </c>
      <c r="C41" t="s">
        <v>39</v>
      </c>
      <c r="D41">
        <v>1383000</v>
      </c>
      <c r="E41">
        <v>13</v>
      </c>
      <c r="F41">
        <v>6</v>
      </c>
      <c r="G41">
        <v>0</v>
      </c>
      <c r="H41">
        <v>2</v>
      </c>
      <c r="I41">
        <v>0</v>
      </c>
      <c r="J41">
        <v>0.2</v>
      </c>
    </row>
    <row r="42" spans="1:10" x14ac:dyDescent="0.25">
      <c r="A42">
        <f t="shared" si="0"/>
        <v>41</v>
      </c>
      <c r="B42" t="s">
        <v>10</v>
      </c>
      <c r="C42" t="s">
        <v>20</v>
      </c>
      <c r="D42">
        <v>1430000</v>
      </c>
      <c r="E42">
        <v>16</v>
      </c>
      <c r="F42">
        <v>8</v>
      </c>
      <c r="G42">
        <v>3</v>
      </c>
      <c r="H42">
        <v>0</v>
      </c>
      <c r="I42">
        <v>1</v>
      </c>
      <c r="J42">
        <v>0</v>
      </c>
    </row>
    <row r="43" spans="1:10" x14ac:dyDescent="0.25">
      <c r="A43">
        <f t="shared" si="0"/>
        <v>42</v>
      </c>
      <c r="B43" t="s">
        <v>11</v>
      </c>
      <c r="C43" t="s">
        <v>21</v>
      </c>
      <c r="D43">
        <v>1477000</v>
      </c>
      <c r="E43">
        <v>19</v>
      </c>
      <c r="F43">
        <v>2</v>
      </c>
      <c r="G43">
        <v>0</v>
      </c>
      <c r="H43">
        <v>2</v>
      </c>
      <c r="I43">
        <v>0</v>
      </c>
      <c r="J43">
        <v>0.19</v>
      </c>
    </row>
    <row r="44" spans="1:10" x14ac:dyDescent="0.25">
      <c r="A44">
        <f t="shared" si="0"/>
        <v>43</v>
      </c>
      <c r="B44" t="s">
        <v>12</v>
      </c>
      <c r="C44" t="s">
        <v>22</v>
      </c>
      <c r="D44">
        <v>1524000</v>
      </c>
      <c r="E44">
        <v>22</v>
      </c>
      <c r="F44">
        <v>4</v>
      </c>
      <c r="G44">
        <v>3</v>
      </c>
      <c r="H44">
        <v>0</v>
      </c>
      <c r="I44">
        <v>3</v>
      </c>
      <c r="J44">
        <v>0</v>
      </c>
    </row>
    <row r="45" spans="1:10" x14ac:dyDescent="0.25">
      <c r="A45">
        <f t="shared" si="0"/>
        <v>44</v>
      </c>
      <c r="B45" t="s">
        <v>13</v>
      </c>
      <c r="C45" t="s">
        <v>23</v>
      </c>
      <c r="D45">
        <v>1571000</v>
      </c>
      <c r="E45">
        <v>25</v>
      </c>
      <c r="F45">
        <v>6</v>
      </c>
      <c r="G45">
        <v>0</v>
      </c>
      <c r="H45">
        <v>0</v>
      </c>
      <c r="I45">
        <v>0</v>
      </c>
      <c r="J45">
        <v>0.18</v>
      </c>
    </row>
    <row r="46" spans="1:10" x14ac:dyDescent="0.25">
      <c r="A46">
        <f t="shared" si="0"/>
        <v>45</v>
      </c>
      <c r="B46" t="s">
        <v>14</v>
      </c>
      <c r="C46" t="s">
        <v>24</v>
      </c>
      <c r="D46">
        <v>1618000</v>
      </c>
      <c r="E46">
        <v>28</v>
      </c>
      <c r="F46">
        <v>8</v>
      </c>
      <c r="G46">
        <v>3</v>
      </c>
      <c r="H46">
        <v>0</v>
      </c>
      <c r="I46">
        <v>3</v>
      </c>
      <c r="J46">
        <v>0</v>
      </c>
    </row>
    <row r="47" spans="1:10" x14ac:dyDescent="0.25">
      <c r="A47">
        <f t="shared" si="0"/>
        <v>46</v>
      </c>
      <c r="B47" t="s">
        <v>15</v>
      </c>
      <c r="C47" t="s">
        <v>25</v>
      </c>
      <c r="D47">
        <v>1665000</v>
      </c>
      <c r="E47">
        <v>8</v>
      </c>
      <c r="F47">
        <v>2</v>
      </c>
      <c r="G47">
        <v>0</v>
      </c>
      <c r="H47">
        <v>0</v>
      </c>
      <c r="I47">
        <v>0</v>
      </c>
      <c r="J47">
        <v>0.17</v>
      </c>
    </row>
    <row r="48" spans="1:10" x14ac:dyDescent="0.25">
      <c r="A48">
        <f t="shared" si="0"/>
        <v>47</v>
      </c>
      <c r="B48" t="s">
        <v>16</v>
      </c>
      <c r="C48" t="s">
        <v>26</v>
      </c>
      <c r="D48">
        <v>1712000</v>
      </c>
      <c r="E48">
        <v>11</v>
      </c>
      <c r="F48">
        <v>4</v>
      </c>
      <c r="G48">
        <v>3</v>
      </c>
      <c r="H48">
        <v>0</v>
      </c>
      <c r="I48">
        <v>0</v>
      </c>
      <c r="J48">
        <v>0</v>
      </c>
    </row>
    <row r="49" spans="1:10" x14ac:dyDescent="0.25">
      <c r="A49">
        <f t="shared" si="0"/>
        <v>48</v>
      </c>
      <c r="B49" t="s">
        <v>17</v>
      </c>
      <c r="C49" t="s">
        <v>27</v>
      </c>
      <c r="D49">
        <v>1759000</v>
      </c>
      <c r="E49">
        <v>14</v>
      </c>
      <c r="F49">
        <v>6</v>
      </c>
      <c r="G49">
        <v>0</v>
      </c>
      <c r="H49">
        <v>0</v>
      </c>
      <c r="I49">
        <v>3</v>
      </c>
      <c r="J49">
        <v>0.16</v>
      </c>
    </row>
    <row r="50" spans="1:10" x14ac:dyDescent="0.25">
      <c r="A50">
        <f t="shared" si="0"/>
        <v>49</v>
      </c>
      <c r="B50" t="s">
        <v>18</v>
      </c>
      <c r="C50" t="s">
        <v>28</v>
      </c>
      <c r="D50">
        <v>1806000</v>
      </c>
      <c r="E50">
        <v>17</v>
      </c>
      <c r="F50">
        <v>8</v>
      </c>
      <c r="G50">
        <v>3</v>
      </c>
      <c r="H50">
        <v>0</v>
      </c>
      <c r="I50">
        <v>0</v>
      </c>
      <c r="J50">
        <v>0</v>
      </c>
    </row>
    <row r="51" spans="1:10" x14ac:dyDescent="0.25">
      <c r="A51">
        <f t="shared" si="0"/>
        <v>50</v>
      </c>
      <c r="B51" t="s">
        <v>19</v>
      </c>
      <c r="C51" t="s">
        <v>29</v>
      </c>
      <c r="D51">
        <v>1853000</v>
      </c>
      <c r="E51">
        <v>17</v>
      </c>
      <c r="F51">
        <v>2</v>
      </c>
      <c r="G51">
        <v>0</v>
      </c>
      <c r="H51">
        <v>1</v>
      </c>
      <c r="I51">
        <v>2</v>
      </c>
      <c r="J51">
        <v>0.15</v>
      </c>
    </row>
    <row r="53" spans="1:10" x14ac:dyDescent="0.25">
      <c r="B53" s="1" t="s">
        <v>40</v>
      </c>
      <c r="D53">
        <f>SUM(D1:D51)</f>
        <v>71475000</v>
      </c>
      <c r="E53">
        <f t="shared" ref="E53:J53" si="1">SUM(E1:E51)</f>
        <v>916</v>
      </c>
      <c r="F53">
        <f t="shared" si="1"/>
        <v>244</v>
      </c>
      <c r="G53">
        <f t="shared" si="1"/>
        <v>72</v>
      </c>
      <c r="H53">
        <f t="shared" si="1"/>
        <v>22</v>
      </c>
      <c r="I53">
        <f t="shared" si="1"/>
        <v>50</v>
      </c>
      <c r="J53">
        <f t="shared" si="1"/>
        <v>5.4700000000000006</v>
      </c>
    </row>
    <row r="54" spans="1:10" x14ac:dyDescent="0.25">
      <c r="B54" s="1" t="s">
        <v>41</v>
      </c>
      <c r="D54">
        <f>AVERAGE(D2:D51)</f>
        <v>1429500</v>
      </c>
      <c r="E54">
        <f t="shared" ref="E54:J54" si="2">AVERAGE(E2:E51)</f>
        <v>18.32</v>
      </c>
      <c r="F54">
        <f t="shared" si="2"/>
        <v>4.88</v>
      </c>
      <c r="G54">
        <f t="shared" si="2"/>
        <v>1.44</v>
      </c>
      <c r="H54">
        <f t="shared" si="2"/>
        <v>0.44</v>
      </c>
      <c r="I54">
        <f t="shared" si="2"/>
        <v>1</v>
      </c>
      <c r="J54">
        <f t="shared" si="2"/>
        <v>0.10940000000000001</v>
      </c>
    </row>
    <row r="55" spans="1:10" x14ac:dyDescent="0.25">
      <c r="B55" s="1" t="s">
        <v>42</v>
      </c>
      <c r="D55">
        <f>MAX(D2:D51)</f>
        <v>2119000</v>
      </c>
      <c r="E55">
        <f t="shared" ref="E55:J55" si="3">MAX(E2:E51)</f>
        <v>30</v>
      </c>
      <c r="F55">
        <f t="shared" si="3"/>
        <v>8</v>
      </c>
      <c r="G55">
        <f t="shared" si="3"/>
        <v>3</v>
      </c>
      <c r="H55">
        <f t="shared" si="3"/>
        <v>2</v>
      </c>
      <c r="I55">
        <f t="shared" si="3"/>
        <v>3</v>
      </c>
      <c r="J55">
        <f t="shared" si="3"/>
        <v>0.33</v>
      </c>
    </row>
    <row r="56" spans="1:10" x14ac:dyDescent="0.25">
      <c r="B56" s="1" t="s">
        <v>43</v>
      </c>
      <c r="D56">
        <f>MIN(D2:D51)</f>
        <v>850000</v>
      </c>
      <c r="E56">
        <f t="shared" ref="E56:J56" si="4">MIN(E2:E51)</f>
        <v>8</v>
      </c>
      <c r="F56">
        <f t="shared" si="4"/>
        <v>2</v>
      </c>
      <c r="G56">
        <f t="shared" si="4"/>
        <v>0</v>
      </c>
      <c r="H56">
        <f t="shared" si="4"/>
        <v>0</v>
      </c>
      <c r="I56">
        <f t="shared" si="4"/>
        <v>0</v>
      </c>
      <c r="J56">
        <f t="shared" si="4"/>
        <v>0</v>
      </c>
    </row>
    <row r="57" spans="1:10" x14ac:dyDescent="0.25">
      <c r="B57" s="1" t="s">
        <v>44</v>
      </c>
      <c r="E57">
        <f>ROUND(E54,1)</f>
        <v>18.3</v>
      </c>
      <c r="F57">
        <f t="shared" ref="F57:J57" si="5">ROUND(F54,1)</f>
        <v>4.9000000000000004</v>
      </c>
      <c r="G57">
        <f t="shared" si="5"/>
        <v>1.4</v>
      </c>
      <c r="H57">
        <f t="shared" si="5"/>
        <v>0.4</v>
      </c>
      <c r="I57">
        <f t="shared" si="5"/>
        <v>1</v>
      </c>
      <c r="J57">
        <f t="shared" si="5"/>
        <v>0.1</v>
      </c>
    </row>
    <row r="58" spans="1:10" x14ac:dyDescent="0.25">
      <c r="B58" s="1" t="s">
        <v>45</v>
      </c>
      <c r="E58">
        <f>MODE(E2:E51)</f>
        <v>17</v>
      </c>
      <c r="F58">
        <f t="shared" ref="F58:J58" si="6">MODE(F2:F51)</f>
        <v>2</v>
      </c>
      <c r="G58">
        <f t="shared" si="6"/>
        <v>0</v>
      </c>
      <c r="H58">
        <f t="shared" si="6"/>
        <v>0</v>
      </c>
      <c r="I58">
        <f t="shared" si="6"/>
        <v>0</v>
      </c>
      <c r="J58">
        <f t="shared" si="6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2026-10-28T12:04:58Z</dcterms:modified>
</cp:coreProperties>
</file>